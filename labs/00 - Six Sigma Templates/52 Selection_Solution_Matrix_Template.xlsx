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bbkc4l\Desktop\Desktop\New folder (2)\Outline\Work\Material\5. Improve\Section 66\Template\"/>
    </mc:Choice>
  </mc:AlternateContent>
  <bookViews>
    <workbookView xWindow="240" yWindow="72" windowWidth="20112" windowHeight="7992"/>
  </bookViews>
  <sheets>
    <sheet name="Template" sheetId="1" r:id="rId1"/>
    <sheet name="Instructions" sheetId="2" r:id="rId2"/>
  </sheets>
  <calcPr calcId="162913"/>
</workbook>
</file>

<file path=xl/calcChain.xml><?xml version="1.0" encoding="utf-8"?>
<calcChain xmlns="http://schemas.openxmlformats.org/spreadsheetml/2006/main">
  <c r="K24" i="1" l="1"/>
  <c r="I24" i="1"/>
  <c r="G24" i="1"/>
  <c r="E24" i="1"/>
  <c r="C24" i="1"/>
  <c r="L24" i="1" s="1"/>
  <c r="K23" i="1"/>
  <c r="I23" i="1"/>
  <c r="L23" i="1" s="1"/>
  <c r="G23" i="1"/>
  <c r="E23" i="1"/>
  <c r="C23" i="1"/>
  <c r="K22" i="1"/>
  <c r="I22" i="1"/>
  <c r="G22" i="1"/>
  <c r="E22" i="1"/>
  <c r="C22" i="1"/>
  <c r="L22" i="1" s="1"/>
  <c r="K21" i="1"/>
  <c r="I21" i="1"/>
  <c r="G21" i="1"/>
  <c r="E21" i="1"/>
  <c r="C21" i="1"/>
  <c r="L21" i="1" s="1"/>
  <c r="K20" i="1"/>
  <c r="I20" i="1"/>
  <c r="G20" i="1"/>
  <c r="E20" i="1"/>
  <c r="C20" i="1"/>
  <c r="L20" i="1" s="1"/>
  <c r="K19" i="1"/>
  <c r="I19" i="1"/>
  <c r="G19" i="1"/>
  <c r="E19" i="1"/>
  <c r="C19" i="1"/>
  <c r="L19" i="1" s="1"/>
  <c r="K18" i="1"/>
  <c r="I18" i="1"/>
  <c r="G18" i="1"/>
  <c r="E18" i="1"/>
  <c r="C18" i="1"/>
  <c r="L18" i="1" s="1"/>
  <c r="K6" i="1"/>
  <c r="K17" i="1" l="1"/>
  <c r="K16" i="1"/>
  <c r="K15" i="1"/>
  <c r="K14" i="1"/>
  <c r="K13" i="1"/>
  <c r="K12" i="1"/>
  <c r="K11" i="1"/>
  <c r="K10" i="1"/>
  <c r="K9" i="1"/>
  <c r="K8" i="1"/>
  <c r="K7" i="1"/>
  <c r="I17" i="1"/>
  <c r="I16" i="1"/>
  <c r="I15" i="1"/>
  <c r="I14" i="1"/>
  <c r="I13" i="1"/>
  <c r="I12" i="1"/>
  <c r="I11" i="1"/>
  <c r="I10" i="1"/>
  <c r="I9" i="1"/>
  <c r="I8" i="1"/>
  <c r="I7" i="1"/>
  <c r="I6" i="1"/>
  <c r="G17" i="1"/>
  <c r="G16" i="1"/>
  <c r="G15" i="1"/>
  <c r="G14" i="1"/>
  <c r="G13" i="1"/>
  <c r="G12" i="1"/>
  <c r="G11" i="1"/>
  <c r="G10" i="1"/>
  <c r="G9" i="1"/>
  <c r="G8" i="1"/>
  <c r="G7" i="1"/>
  <c r="G6" i="1"/>
  <c r="E17" i="1"/>
  <c r="E16" i="1"/>
  <c r="E15" i="1"/>
  <c r="E14" i="1"/>
  <c r="E13" i="1"/>
  <c r="E12" i="1"/>
  <c r="E11" i="1"/>
  <c r="E10" i="1"/>
  <c r="E9" i="1"/>
  <c r="E8" i="1"/>
  <c r="E7" i="1"/>
  <c r="E6" i="1"/>
  <c r="C17" i="1"/>
  <c r="C16" i="1"/>
  <c r="C15" i="1"/>
  <c r="C14" i="1"/>
  <c r="C13" i="1"/>
  <c r="C12" i="1"/>
  <c r="C11" i="1"/>
  <c r="C10" i="1"/>
  <c r="C9" i="1"/>
  <c r="C8" i="1"/>
  <c r="C7" i="1"/>
  <c r="C6" i="1"/>
  <c r="L15" i="1" l="1"/>
  <c r="L12" i="1"/>
  <c r="L11" i="1"/>
  <c r="L17" i="1"/>
  <c r="L9" i="1"/>
  <c r="L13" i="1"/>
  <c r="L14" i="1"/>
  <c r="L6" i="1"/>
  <c r="L8" i="1"/>
  <c r="L16" i="1"/>
  <c r="L7" i="1"/>
  <c r="L10" i="1"/>
</calcChain>
</file>

<file path=xl/sharedStrings.xml><?xml version="1.0" encoding="utf-8"?>
<sst xmlns="http://schemas.openxmlformats.org/spreadsheetml/2006/main" count="58" uniqueCount="41">
  <si>
    <t xml:space="preserve">Weight </t>
  </si>
  <si>
    <t>Overall Score</t>
  </si>
  <si>
    <t>Take Action Y/N</t>
  </si>
  <si>
    <t>Why/Why not</t>
  </si>
  <si>
    <t>Decide on a weighting for each column heading and enter in row 2 (this should be between 1 and 10)</t>
  </si>
  <si>
    <t xml:space="preserve">Decide on a score between 1 and 10 for each solution across all columns </t>
  </si>
  <si>
    <t>For Impact a high impact solution should be allocated a highe score</t>
  </si>
  <si>
    <t xml:space="preserve">You can use scores in columns B and C to plot an Impact Effort Matrix </t>
  </si>
  <si>
    <t>Also look at the columns that you have weighted more heavily  in row 2  or that score highly (highlighted in blue)</t>
  </si>
  <si>
    <t>Overall Score is auto calculated (top 20% are highlighted in green)</t>
  </si>
  <si>
    <t>Solution Selection Matrix</t>
  </si>
  <si>
    <t>Note for Cost/Effort/Risk column a low score should be allocated for large cost and effort required or high risk</t>
  </si>
  <si>
    <t>Cost/ Effort/ Risk low=10 high=1</t>
  </si>
  <si>
    <t>Project Name: AHT Reduction Project</t>
  </si>
  <si>
    <t>Date: 27-May-2018</t>
  </si>
  <si>
    <t>Recurring Refresher Training</t>
  </si>
  <si>
    <t>Recurring Process Knowledge Tests</t>
  </si>
  <si>
    <t>Recurring Calibration of Trainers</t>
  </si>
  <si>
    <t>Recognition for top accuracy scorer</t>
  </si>
  <si>
    <t>Mechanism to check everyone's work in the hierarchy</t>
  </si>
  <si>
    <t>Initiate monthly coffee with managers</t>
  </si>
  <si>
    <t>Initiate Skip level meetings</t>
  </si>
  <si>
    <t>Initiate Daily Huddles</t>
  </si>
  <si>
    <t>Create a robust reward &amp; recognition process</t>
  </si>
  <si>
    <t>Initiate best AHT contest</t>
  </si>
  <si>
    <t>Add flags and slogans to reduce AHT</t>
  </si>
  <si>
    <t>Print pamphlets to reduce AHT</t>
  </si>
  <si>
    <t>Provide regular AHT Reports to team members</t>
  </si>
  <si>
    <t>Supervisors to provide regular feedback to AHT outliers</t>
  </si>
  <si>
    <t>Performance Improvement Plan to be initiated for AHT outliers</t>
  </si>
  <si>
    <t>Real Time AHT to be displayed on the big TV screen</t>
  </si>
  <si>
    <t>Quality coaches to provide regular feedback to all teams</t>
  </si>
  <si>
    <t>Initiative to train quality coaches from external consultants</t>
  </si>
  <si>
    <t xml:space="preserve">Quality coaches to be sent to off-site </t>
  </si>
  <si>
    <t>Impact on AHT
low=1 high=10</t>
  </si>
  <si>
    <t>Impact on Accuracy low=1 high=10</t>
  </si>
  <si>
    <t>Impact on Customer Satisfaction low=1 high=10</t>
  </si>
  <si>
    <t>Impact on Productivity low=1 high=10</t>
  </si>
  <si>
    <t>Y</t>
  </si>
  <si>
    <t>N</t>
  </si>
  <si>
    <t>Because this has a direct impact on AHT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</si>
</sst>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0" xfId="0" applyFont="1" applyFill="1"/>
    <xf numFmtId="0" fontId="3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5" fillId="3" borderId="0" xfId="0" applyFont="1" applyFill="1" applyAlignment="1">
      <alignment horizontal="right"/>
    </xf>
    <xf numFmtId="0" fontId="5" fillId="3" borderId="0" xfId="0" applyFont="1" applyFill="1"/>
    <xf numFmtId="0" fontId="5" fillId="2" borderId="0" xfId="0" applyFont="1" applyFill="1"/>
    <xf numFmtId="0" fontId="2" fillId="0" borderId="1" xfId="0" applyFont="1" applyBorder="1"/>
    <xf numFmtId="0" fontId="5" fillId="0" borderId="1" xfId="0" applyFont="1" applyBorder="1"/>
    <xf numFmtId="0" fontId="2" fillId="0" borderId="0" xfId="0" applyFont="1" applyAlignment="1"/>
  </cellXfs>
  <cellStyles count="1">
    <cellStyle name="Normal" xfId="0" builtinId="0"/>
  </cellStyles>
  <dxfs count="9"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24"/>
  <sheetViews>
    <sheetView tabSelected="1" zoomScale="55" zoomScaleNormal="55" workbookViewId="0">
      <selection activeCell="A7" sqref="A7"/>
    </sheetView>
  </sheetViews>
  <sheetFormatPr defaultRowHeight="14.4" x14ac:dyDescent="0.3"/>
  <cols>
    <col min="1" max="1" width="92.33203125" bestFit="1" customWidth="1"/>
    <col min="2" max="2" width="14.6640625" customWidth="1"/>
    <col min="3" max="3" width="1.6640625" style="1" customWidth="1"/>
    <col min="4" max="4" width="17.6640625" customWidth="1"/>
    <col min="5" max="5" width="1.6640625" style="1" customWidth="1"/>
    <col min="6" max="6" width="17.6640625" customWidth="1"/>
    <col min="7" max="7" width="1.6640625" style="1" customWidth="1"/>
    <col min="8" max="8" width="19.5546875" customWidth="1"/>
    <col min="9" max="9" width="1.6640625" style="1" customWidth="1"/>
    <col min="10" max="10" width="19.88671875" customWidth="1"/>
    <col min="11" max="11" width="1.6640625" style="1" customWidth="1"/>
    <col min="12" max="13" width="17.6640625" customWidth="1"/>
    <col min="14" max="14" width="58.5546875" bestFit="1" customWidth="1"/>
  </cols>
  <sheetData>
    <row r="1" spans="1:14" ht="23.4" x14ac:dyDescent="0.45">
      <c r="A1" s="13" t="s">
        <v>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2"/>
    </row>
    <row r="2" spans="1:14" ht="23.4" x14ac:dyDescent="0.45">
      <c r="A2" s="13" t="s">
        <v>13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2"/>
    </row>
    <row r="3" spans="1:14" ht="23.4" x14ac:dyDescent="0.45">
      <c r="A3" s="13" t="s">
        <v>14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2"/>
    </row>
    <row r="4" spans="1:14" ht="117" x14ac:dyDescent="0.45">
      <c r="A4" s="3"/>
      <c r="B4" s="4" t="s">
        <v>12</v>
      </c>
      <c r="C4" s="5"/>
      <c r="D4" s="4" t="s">
        <v>34</v>
      </c>
      <c r="E4" s="5"/>
      <c r="F4" s="4" t="s">
        <v>35</v>
      </c>
      <c r="G4" s="5"/>
      <c r="H4" s="4" t="s">
        <v>36</v>
      </c>
      <c r="I4" s="5"/>
      <c r="J4" s="4" t="s">
        <v>37</v>
      </c>
      <c r="K4" s="6"/>
      <c r="L4" s="7" t="s">
        <v>1</v>
      </c>
      <c r="M4" s="4" t="s">
        <v>2</v>
      </c>
      <c r="N4" s="4" t="s">
        <v>3</v>
      </c>
    </row>
    <row r="5" spans="1:14" ht="23.4" x14ac:dyDescent="0.45">
      <c r="A5" s="8" t="s">
        <v>0</v>
      </c>
      <c r="B5" s="9">
        <v>10</v>
      </c>
      <c r="C5" s="9"/>
      <c r="D5" s="9">
        <v>10</v>
      </c>
      <c r="E5" s="9"/>
      <c r="F5" s="9">
        <v>8</v>
      </c>
      <c r="G5" s="9"/>
      <c r="H5" s="9">
        <v>7</v>
      </c>
      <c r="I5" s="9"/>
      <c r="J5" s="9">
        <v>2</v>
      </c>
      <c r="K5" s="9"/>
      <c r="L5" s="10"/>
      <c r="M5" s="10"/>
      <c r="N5" s="10"/>
    </row>
    <row r="6" spans="1:14" ht="23.4" x14ac:dyDescent="0.45">
      <c r="A6" s="11" t="s">
        <v>15</v>
      </c>
      <c r="B6" s="11">
        <v>10</v>
      </c>
      <c r="C6" s="12">
        <f>+$B$5*B6</f>
        <v>100</v>
      </c>
      <c r="D6" s="11">
        <v>10</v>
      </c>
      <c r="E6" s="12">
        <f>+$D$5*D6</f>
        <v>100</v>
      </c>
      <c r="F6" s="11">
        <v>10</v>
      </c>
      <c r="G6" s="12">
        <f>+$F$5*F6</f>
        <v>80</v>
      </c>
      <c r="H6" s="11">
        <v>10</v>
      </c>
      <c r="I6" s="12">
        <f>+$F$5*H6</f>
        <v>80</v>
      </c>
      <c r="J6" s="11">
        <v>1</v>
      </c>
      <c r="K6" s="12">
        <f>+$J$5*J6</f>
        <v>2</v>
      </c>
      <c r="L6" s="11">
        <f>SUM(C6+E6+G6+I6+K6)</f>
        <v>362</v>
      </c>
      <c r="M6" s="11" t="s">
        <v>38</v>
      </c>
      <c r="N6" s="11" t="s">
        <v>40</v>
      </c>
    </row>
    <row r="7" spans="1:14" ht="23.4" x14ac:dyDescent="0.45">
      <c r="A7" s="11" t="s">
        <v>16</v>
      </c>
      <c r="B7" s="11">
        <v>10</v>
      </c>
      <c r="C7" s="12">
        <f t="shared" ref="C7:C24" si="0">+$B$5*B7</f>
        <v>100</v>
      </c>
      <c r="D7" s="11">
        <v>8</v>
      </c>
      <c r="E7" s="12">
        <f t="shared" ref="E7:E24" si="1">+$D$5*D7</f>
        <v>80</v>
      </c>
      <c r="F7" s="11">
        <v>8</v>
      </c>
      <c r="G7" s="12">
        <f t="shared" ref="G7:G24" si="2">+$F$5*F7</f>
        <v>64</v>
      </c>
      <c r="H7" s="11">
        <v>8</v>
      </c>
      <c r="I7" s="12">
        <f t="shared" ref="I7:I24" si="3">+$F$5*H7</f>
        <v>64</v>
      </c>
      <c r="J7" s="11">
        <v>1</v>
      </c>
      <c r="K7" s="12">
        <f t="shared" ref="K7:K24" si="4">+$J$5*J7</f>
        <v>2</v>
      </c>
      <c r="L7" s="11">
        <f t="shared" ref="L7:L24" si="5">SUM(C7+E7+G7+I7+K7)</f>
        <v>310</v>
      </c>
      <c r="M7" s="11" t="s">
        <v>38</v>
      </c>
      <c r="N7" s="11"/>
    </row>
    <row r="8" spans="1:14" ht="23.4" x14ac:dyDescent="0.45">
      <c r="A8" s="11" t="s">
        <v>17</v>
      </c>
      <c r="B8" s="11">
        <v>4</v>
      </c>
      <c r="C8" s="12">
        <f t="shared" si="0"/>
        <v>40</v>
      </c>
      <c r="D8" s="11">
        <v>3</v>
      </c>
      <c r="E8" s="12">
        <f t="shared" si="1"/>
        <v>30</v>
      </c>
      <c r="F8" s="11">
        <v>2</v>
      </c>
      <c r="G8" s="12">
        <f t="shared" si="2"/>
        <v>16</v>
      </c>
      <c r="H8" s="11">
        <v>1</v>
      </c>
      <c r="I8" s="12">
        <f t="shared" si="3"/>
        <v>8</v>
      </c>
      <c r="J8" s="11">
        <v>1</v>
      </c>
      <c r="K8" s="12">
        <f t="shared" si="4"/>
        <v>2</v>
      </c>
      <c r="L8" s="11">
        <f t="shared" si="5"/>
        <v>96</v>
      </c>
      <c r="M8" s="11" t="s">
        <v>39</v>
      </c>
      <c r="N8" s="11"/>
    </row>
    <row r="9" spans="1:14" ht="23.4" x14ac:dyDescent="0.45">
      <c r="A9" s="11" t="s">
        <v>18</v>
      </c>
      <c r="B9" s="11">
        <v>10</v>
      </c>
      <c r="C9" s="12">
        <f t="shared" si="0"/>
        <v>100</v>
      </c>
      <c r="D9" s="11">
        <v>5</v>
      </c>
      <c r="E9" s="12">
        <f t="shared" si="1"/>
        <v>50</v>
      </c>
      <c r="F9" s="11">
        <v>10</v>
      </c>
      <c r="G9" s="12">
        <f t="shared" si="2"/>
        <v>80</v>
      </c>
      <c r="H9" s="11">
        <v>8</v>
      </c>
      <c r="I9" s="12">
        <f t="shared" si="3"/>
        <v>64</v>
      </c>
      <c r="J9" s="11">
        <v>1</v>
      </c>
      <c r="K9" s="12">
        <f t="shared" si="4"/>
        <v>2</v>
      </c>
      <c r="L9" s="11">
        <f t="shared" si="5"/>
        <v>296</v>
      </c>
      <c r="M9" s="11" t="s">
        <v>38</v>
      </c>
      <c r="N9" s="11"/>
    </row>
    <row r="10" spans="1:14" ht="23.4" x14ac:dyDescent="0.45">
      <c r="A10" s="11" t="s">
        <v>19</v>
      </c>
      <c r="B10" s="11">
        <v>5</v>
      </c>
      <c r="C10" s="12">
        <f t="shared" si="0"/>
        <v>50</v>
      </c>
      <c r="D10" s="11">
        <v>7</v>
      </c>
      <c r="E10" s="12">
        <f t="shared" si="1"/>
        <v>70</v>
      </c>
      <c r="F10" s="11">
        <v>6</v>
      </c>
      <c r="G10" s="12">
        <f t="shared" si="2"/>
        <v>48</v>
      </c>
      <c r="H10" s="11">
        <v>6</v>
      </c>
      <c r="I10" s="12">
        <f t="shared" si="3"/>
        <v>48</v>
      </c>
      <c r="J10" s="11">
        <v>6</v>
      </c>
      <c r="K10" s="12">
        <f t="shared" si="4"/>
        <v>12</v>
      </c>
      <c r="L10" s="11">
        <f t="shared" si="5"/>
        <v>228</v>
      </c>
      <c r="M10" s="11" t="s">
        <v>38</v>
      </c>
      <c r="N10" s="11"/>
    </row>
    <row r="11" spans="1:14" ht="23.4" x14ac:dyDescent="0.45">
      <c r="A11" s="11" t="s">
        <v>20</v>
      </c>
      <c r="B11" s="11">
        <v>8</v>
      </c>
      <c r="C11" s="12">
        <f t="shared" si="0"/>
        <v>80</v>
      </c>
      <c r="D11" s="11">
        <v>4</v>
      </c>
      <c r="E11" s="12">
        <f t="shared" si="1"/>
        <v>40</v>
      </c>
      <c r="F11" s="11">
        <v>2</v>
      </c>
      <c r="G11" s="12">
        <f t="shared" si="2"/>
        <v>16</v>
      </c>
      <c r="H11" s="11">
        <v>3</v>
      </c>
      <c r="I11" s="12">
        <f t="shared" si="3"/>
        <v>24</v>
      </c>
      <c r="J11" s="11">
        <v>8</v>
      </c>
      <c r="K11" s="12">
        <f t="shared" si="4"/>
        <v>16</v>
      </c>
      <c r="L11" s="11">
        <f t="shared" si="5"/>
        <v>176</v>
      </c>
      <c r="M11" s="11" t="s">
        <v>39</v>
      </c>
      <c r="N11" s="11"/>
    </row>
    <row r="12" spans="1:14" ht="23.4" x14ac:dyDescent="0.45">
      <c r="A12" s="11" t="s">
        <v>21</v>
      </c>
      <c r="B12" s="11">
        <v>9</v>
      </c>
      <c r="C12" s="12">
        <f t="shared" si="0"/>
        <v>90</v>
      </c>
      <c r="D12" s="11">
        <v>5</v>
      </c>
      <c r="E12" s="12">
        <f t="shared" si="1"/>
        <v>50</v>
      </c>
      <c r="F12" s="11">
        <v>4</v>
      </c>
      <c r="G12" s="12">
        <f t="shared" si="2"/>
        <v>32</v>
      </c>
      <c r="H12" s="11">
        <v>4</v>
      </c>
      <c r="I12" s="12">
        <f t="shared" si="3"/>
        <v>32</v>
      </c>
      <c r="J12" s="11">
        <v>1</v>
      </c>
      <c r="K12" s="12">
        <f t="shared" si="4"/>
        <v>2</v>
      </c>
      <c r="L12" s="11">
        <f t="shared" si="5"/>
        <v>206</v>
      </c>
      <c r="M12" s="11" t="s">
        <v>38</v>
      </c>
      <c r="N12" s="11"/>
    </row>
    <row r="13" spans="1:14" ht="23.4" x14ac:dyDescent="0.45">
      <c r="A13" s="11" t="s">
        <v>22</v>
      </c>
      <c r="B13" s="11">
        <v>10</v>
      </c>
      <c r="C13" s="12">
        <f t="shared" si="0"/>
        <v>100</v>
      </c>
      <c r="D13" s="11">
        <v>9</v>
      </c>
      <c r="E13" s="12">
        <f t="shared" si="1"/>
        <v>90</v>
      </c>
      <c r="F13" s="11">
        <v>9</v>
      </c>
      <c r="G13" s="12">
        <f t="shared" si="2"/>
        <v>72</v>
      </c>
      <c r="H13" s="11">
        <v>8</v>
      </c>
      <c r="I13" s="12">
        <f t="shared" si="3"/>
        <v>64</v>
      </c>
      <c r="J13" s="11">
        <v>8</v>
      </c>
      <c r="K13" s="12">
        <f t="shared" si="4"/>
        <v>16</v>
      </c>
      <c r="L13" s="11">
        <f t="shared" si="5"/>
        <v>342</v>
      </c>
      <c r="M13" s="11" t="s">
        <v>38</v>
      </c>
      <c r="N13" s="11"/>
    </row>
    <row r="14" spans="1:14" ht="23.4" x14ac:dyDescent="0.45">
      <c r="A14" s="11" t="s">
        <v>23</v>
      </c>
      <c r="B14" s="11">
        <v>8</v>
      </c>
      <c r="C14" s="12">
        <f t="shared" si="0"/>
        <v>80</v>
      </c>
      <c r="D14" s="11">
        <v>7</v>
      </c>
      <c r="E14" s="12">
        <f t="shared" si="1"/>
        <v>70</v>
      </c>
      <c r="F14" s="11">
        <v>5</v>
      </c>
      <c r="G14" s="12">
        <f t="shared" si="2"/>
        <v>40</v>
      </c>
      <c r="H14" s="11">
        <v>4</v>
      </c>
      <c r="I14" s="12">
        <f t="shared" si="3"/>
        <v>32</v>
      </c>
      <c r="J14" s="11">
        <v>4</v>
      </c>
      <c r="K14" s="12">
        <f t="shared" si="4"/>
        <v>8</v>
      </c>
      <c r="L14" s="11">
        <f t="shared" si="5"/>
        <v>230</v>
      </c>
      <c r="M14" s="11" t="s">
        <v>38</v>
      </c>
      <c r="N14" s="11"/>
    </row>
    <row r="15" spans="1:14" ht="23.4" x14ac:dyDescent="0.45">
      <c r="A15" s="11" t="s">
        <v>24</v>
      </c>
      <c r="B15" s="11">
        <v>7</v>
      </c>
      <c r="C15" s="12">
        <f t="shared" si="0"/>
        <v>70</v>
      </c>
      <c r="D15" s="11">
        <v>8</v>
      </c>
      <c r="E15" s="12">
        <f t="shared" si="1"/>
        <v>80</v>
      </c>
      <c r="F15" s="11">
        <v>2</v>
      </c>
      <c r="G15" s="12">
        <f t="shared" si="2"/>
        <v>16</v>
      </c>
      <c r="H15" s="11">
        <v>2</v>
      </c>
      <c r="I15" s="12">
        <f t="shared" si="3"/>
        <v>16</v>
      </c>
      <c r="J15" s="11">
        <v>1</v>
      </c>
      <c r="K15" s="12">
        <f t="shared" si="4"/>
        <v>2</v>
      </c>
      <c r="L15" s="11">
        <f t="shared" si="5"/>
        <v>184</v>
      </c>
      <c r="M15" s="11" t="s">
        <v>39</v>
      </c>
      <c r="N15" s="11"/>
    </row>
    <row r="16" spans="1:14" ht="23.4" x14ac:dyDescent="0.45">
      <c r="A16" s="11" t="s">
        <v>25</v>
      </c>
      <c r="B16" s="11">
        <v>2</v>
      </c>
      <c r="C16" s="12">
        <f t="shared" si="0"/>
        <v>20</v>
      </c>
      <c r="D16" s="11">
        <v>3</v>
      </c>
      <c r="E16" s="12">
        <f t="shared" si="1"/>
        <v>30</v>
      </c>
      <c r="F16" s="11">
        <v>2</v>
      </c>
      <c r="G16" s="12">
        <f t="shared" si="2"/>
        <v>16</v>
      </c>
      <c r="H16" s="11">
        <v>2</v>
      </c>
      <c r="I16" s="12">
        <f t="shared" si="3"/>
        <v>16</v>
      </c>
      <c r="J16" s="11">
        <v>1</v>
      </c>
      <c r="K16" s="12">
        <f t="shared" si="4"/>
        <v>2</v>
      </c>
      <c r="L16" s="11">
        <f t="shared" si="5"/>
        <v>84</v>
      </c>
      <c r="M16" s="11" t="s">
        <v>39</v>
      </c>
      <c r="N16" s="11"/>
    </row>
    <row r="17" spans="1:14" ht="23.4" x14ac:dyDescent="0.45">
      <c r="A17" s="11" t="s">
        <v>26</v>
      </c>
      <c r="B17" s="11">
        <v>2</v>
      </c>
      <c r="C17" s="12">
        <f t="shared" si="0"/>
        <v>20</v>
      </c>
      <c r="D17" s="11">
        <v>3</v>
      </c>
      <c r="E17" s="12">
        <f t="shared" si="1"/>
        <v>30</v>
      </c>
      <c r="F17" s="11">
        <v>1</v>
      </c>
      <c r="G17" s="12">
        <f t="shared" si="2"/>
        <v>8</v>
      </c>
      <c r="H17" s="11">
        <v>2</v>
      </c>
      <c r="I17" s="12">
        <f t="shared" si="3"/>
        <v>16</v>
      </c>
      <c r="J17" s="11">
        <v>1</v>
      </c>
      <c r="K17" s="12">
        <f t="shared" si="4"/>
        <v>2</v>
      </c>
      <c r="L17" s="11">
        <f t="shared" si="5"/>
        <v>76</v>
      </c>
      <c r="M17" s="11" t="s">
        <v>39</v>
      </c>
      <c r="N17" s="11"/>
    </row>
    <row r="18" spans="1:14" ht="23.4" x14ac:dyDescent="0.45">
      <c r="A18" s="11" t="s">
        <v>27</v>
      </c>
      <c r="B18" s="11">
        <v>8</v>
      </c>
      <c r="C18" s="12">
        <f t="shared" si="0"/>
        <v>80</v>
      </c>
      <c r="D18" s="11">
        <v>9</v>
      </c>
      <c r="E18" s="12">
        <f t="shared" si="1"/>
        <v>90</v>
      </c>
      <c r="F18" s="11">
        <v>6</v>
      </c>
      <c r="G18" s="12">
        <f t="shared" si="2"/>
        <v>48</v>
      </c>
      <c r="H18" s="11">
        <v>5</v>
      </c>
      <c r="I18" s="12">
        <f t="shared" si="3"/>
        <v>40</v>
      </c>
      <c r="J18" s="11">
        <v>2</v>
      </c>
      <c r="K18" s="12">
        <f t="shared" si="4"/>
        <v>4</v>
      </c>
      <c r="L18" s="11">
        <f t="shared" si="5"/>
        <v>262</v>
      </c>
      <c r="M18" s="11" t="s">
        <v>38</v>
      </c>
      <c r="N18" s="11"/>
    </row>
    <row r="19" spans="1:14" ht="23.4" x14ac:dyDescent="0.45">
      <c r="A19" s="11" t="s">
        <v>28</v>
      </c>
      <c r="B19" s="11">
        <v>8</v>
      </c>
      <c r="C19" s="12">
        <f t="shared" si="0"/>
        <v>80</v>
      </c>
      <c r="D19" s="11">
        <v>10</v>
      </c>
      <c r="E19" s="12">
        <f t="shared" si="1"/>
        <v>100</v>
      </c>
      <c r="F19" s="11">
        <v>7</v>
      </c>
      <c r="G19" s="12">
        <f t="shared" si="2"/>
        <v>56</v>
      </c>
      <c r="H19" s="11">
        <v>6</v>
      </c>
      <c r="I19" s="12">
        <f t="shared" si="3"/>
        <v>48</v>
      </c>
      <c r="J19" s="11">
        <v>3</v>
      </c>
      <c r="K19" s="12">
        <f t="shared" si="4"/>
        <v>6</v>
      </c>
      <c r="L19" s="11">
        <f t="shared" si="5"/>
        <v>290</v>
      </c>
      <c r="M19" s="11" t="s">
        <v>38</v>
      </c>
      <c r="N19" s="11"/>
    </row>
    <row r="20" spans="1:14" ht="23.4" x14ac:dyDescent="0.45">
      <c r="A20" s="11" t="s">
        <v>29</v>
      </c>
      <c r="B20" s="11">
        <v>6</v>
      </c>
      <c r="C20" s="12">
        <f t="shared" si="0"/>
        <v>60</v>
      </c>
      <c r="D20" s="11">
        <v>7</v>
      </c>
      <c r="E20" s="12">
        <f t="shared" si="1"/>
        <v>70</v>
      </c>
      <c r="F20" s="11">
        <v>6</v>
      </c>
      <c r="G20" s="12">
        <f t="shared" si="2"/>
        <v>48</v>
      </c>
      <c r="H20" s="11">
        <v>7</v>
      </c>
      <c r="I20" s="12">
        <f t="shared" si="3"/>
        <v>56</v>
      </c>
      <c r="J20" s="11">
        <v>6</v>
      </c>
      <c r="K20" s="12">
        <f t="shared" si="4"/>
        <v>12</v>
      </c>
      <c r="L20" s="11">
        <f t="shared" si="5"/>
        <v>246</v>
      </c>
      <c r="M20" s="11" t="s">
        <v>38</v>
      </c>
      <c r="N20" s="11"/>
    </row>
    <row r="21" spans="1:14" ht="23.4" x14ac:dyDescent="0.45">
      <c r="A21" s="11" t="s">
        <v>30</v>
      </c>
      <c r="B21" s="11">
        <v>4</v>
      </c>
      <c r="C21" s="12">
        <f t="shared" si="0"/>
        <v>40</v>
      </c>
      <c r="D21" s="11">
        <v>7</v>
      </c>
      <c r="E21" s="12">
        <f t="shared" si="1"/>
        <v>70</v>
      </c>
      <c r="F21" s="11">
        <v>4</v>
      </c>
      <c r="G21" s="12">
        <f t="shared" si="2"/>
        <v>32</v>
      </c>
      <c r="H21" s="11">
        <v>3</v>
      </c>
      <c r="I21" s="12">
        <f t="shared" si="3"/>
        <v>24</v>
      </c>
      <c r="J21" s="11">
        <v>4</v>
      </c>
      <c r="K21" s="12">
        <f t="shared" si="4"/>
        <v>8</v>
      </c>
      <c r="L21" s="11">
        <f t="shared" si="5"/>
        <v>174</v>
      </c>
      <c r="M21" s="11" t="s">
        <v>39</v>
      </c>
      <c r="N21" s="11"/>
    </row>
    <row r="22" spans="1:14" ht="23.4" x14ac:dyDescent="0.45">
      <c r="A22" s="11" t="s">
        <v>31</v>
      </c>
      <c r="B22" s="11">
        <v>10</v>
      </c>
      <c r="C22" s="12">
        <f t="shared" si="0"/>
        <v>100</v>
      </c>
      <c r="D22" s="11">
        <v>10</v>
      </c>
      <c r="E22" s="12">
        <f t="shared" si="1"/>
        <v>100</v>
      </c>
      <c r="F22" s="11">
        <v>10</v>
      </c>
      <c r="G22" s="12">
        <f t="shared" si="2"/>
        <v>80</v>
      </c>
      <c r="H22" s="11">
        <v>9</v>
      </c>
      <c r="I22" s="12">
        <f t="shared" si="3"/>
        <v>72</v>
      </c>
      <c r="J22" s="11">
        <v>8</v>
      </c>
      <c r="K22" s="12">
        <f t="shared" si="4"/>
        <v>16</v>
      </c>
      <c r="L22" s="11">
        <f t="shared" si="5"/>
        <v>368</v>
      </c>
      <c r="M22" s="11" t="s">
        <v>38</v>
      </c>
      <c r="N22" s="11"/>
    </row>
    <row r="23" spans="1:14" ht="23.4" x14ac:dyDescent="0.45">
      <c r="A23" s="11" t="s">
        <v>32</v>
      </c>
      <c r="B23" s="11">
        <v>1</v>
      </c>
      <c r="C23" s="12">
        <f t="shared" si="0"/>
        <v>10</v>
      </c>
      <c r="D23" s="11">
        <v>3</v>
      </c>
      <c r="E23" s="12">
        <f t="shared" si="1"/>
        <v>30</v>
      </c>
      <c r="F23" s="11">
        <v>3</v>
      </c>
      <c r="G23" s="12">
        <f t="shared" si="2"/>
        <v>24</v>
      </c>
      <c r="H23" s="11">
        <v>2</v>
      </c>
      <c r="I23" s="12">
        <f t="shared" si="3"/>
        <v>16</v>
      </c>
      <c r="J23" s="11">
        <v>1</v>
      </c>
      <c r="K23" s="12">
        <f t="shared" si="4"/>
        <v>2</v>
      </c>
      <c r="L23" s="11">
        <f t="shared" si="5"/>
        <v>82</v>
      </c>
      <c r="M23" s="11" t="s">
        <v>39</v>
      </c>
      <c r="N23" s="11"/>
    </row>
    <row r="24" spans="1:14" ht="23.4" x14ac:dyDescent="0.45">
      <c r="A24" s="11" t="s">
        <v>33</v>
      </c>
      <c r="B24" s="11">
        <v>1</v>
      </c>
      <c r="C24" s="12">
        <f t="shared" si="0"/>
        <v>10</v>
      </c>
      <c r="D24" s="11">
        <v>1</v>
      </c>
      <c r="E24" s="12">
        <f t="shared" si="1"/>
        <v>10</v>
      </c>
      <c r="F24" s="11">
        <v>2</v>
      </c>
      <c r="G24" s="12">
        <f t="shared" si="2"/>
        <v>16</v>
      </c>
      <c r="H24" s="11">
        <v>2</v>
      </c>
      <c r="I24" s="12">
        <f t="shared" si="3"/>
        <v>16</v>
      </c>
      <c r="J24" s="11">
        <v>1</v>
      </c>
      <c r="K24" s="12">
        <f t="shared" si="4"/>
        <v>2</v>
      </c>
      <c r="L24" s="11">
        <f t="shared" si="5"/>
        <v>54</v>
      </c>
      <c r="M24" s="11" t="s">
        <v>39</v>
      </c>
      <c r="N24" s="11"/>
    </row>
  </sheetData>
  <mergeCells count="3">
    <mergeCell ref="A1:M1"/>
    <mergeCell ref="A2:M2"/>
    <mergeCell ref="A3:M3"/>
  </mergeCells>
  <conditionalFormatting sqref="B5:C5">
    <cfRule type="cellIs" dxfId="8" priority="160" operator="greaterThan">
      <formula>8</formula>
    </cfRule>
    <cfRule type="cellIs" dxfId="7" priority="161" operator="greaterThan">
      <formula>8</formula>
    </cfRule>
  </conditionalFormatting>
  <conditionalFormatting sqref="B6:B24">
    <cfRule type="expression" dxfId="6" priority="24">
      <formula>$C6&gt;64</formula>
    </cfRule>
  </conditionalFormatting>
  <conditionalFormatting sqref="H6 H17:H24">
    <cfRule type="expression" dxfId="5" priority="15">
      <formula>$I6&gt;64</formula>
    </cfRule>
  </conditionalFormatting>
  <conditionalFormatting sqref="H7:H16">
    <cfRule type="expression" dxfId="4" priority="14">
      <formula>$I7&gt;64</formula>
    </cfRule>
  </conditionalFormatting>
  <conditionalFormatting sqref="J6:J24">
    <cfRule type="expression" dxfId="3" priority="11">
      <formula>$K6&gt;64</formula>
    </cfRule>
  </conditionalFormatting>
  <conditionalFormatting sqref="D6:D24">
    <cfRule type="expression" dxfId="2" priority="7">
      <formula>$E6&gt;64</formula>
    </cfRule>
  </conditionalFormatting>
  <conditionalFormatting sqref="F6:F24">
    <cfRule type="expression" dxfId="1" priority="3">
      <formula>$G6&gt;64</formula>
    </cfRule>
  </conditionalFormatting>
  <conditionalFormatting sqref="L6:L24">
    <cfRule type="top10" dxfId="0" priority="164" percent="1" rank="20"/>
  </conditionalFormatting>
  <dataValidations xWindow="128" yWindow="277" count="4">
    <dataValidation type="whole" allowBlank="1" showInputMessage="1" showErrorMessage="1" promptTitle="Enter a weighting" prompt="Between 1 (low) and 10 (high)" sqref="C5:K5">
      <formula1>1</formula1>
      <formula2>10</formula2>
    </dataValidation>
    <dataValidation type="list" allowBlank="1" showErrorMessage="1" sqref="J6:J24 D6:D24 H6:H24 F6:F24">
      <formula1>"1,2,3,4,5,6,7,8,9,10"</formula1>
    </dataValidation>
    <dataValidation type="list" allowBlank="1" showErrorMessage="1" promptTitle="Enter a score" sqref="B6:B24">
      <formula1>"1,2,3,4,5,6,7,8,9,10"</formula1>
    </dataValidation>
    <dataValidation type="whole" allowBlank="1" showInputMessage="1" showErrorMessage="1" promptTitle="Enter a weighting" prompt="Between 1 (high) and 10 (low)" sqref="B5">
      <formula1>1</formula1>
      <formula2>10</formula2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B10"/>
  <sheetViews>
    <sheetView workbookViewId="0">
      <selection activeCell="B7" sqref="B7"/>
    </sheetView>
  </sheetViews>
  <sheetFormatPr defaultRowHeight="14.4" x14ac:dyDescent="0.3"/>
  <cols>
    <col min="2" max="2" width="100.5546875" customWidth="1"/>
  </cols>
  <sheetData>
    <row r="4" spans="1:2" x14ac:dyDescent="0.3">
      <c r="A4">
        <v>1</v>
      </c>
      <c r="B4" t="s">
        <v>4</v>
      </c>
    </row>
    <row r="5" spans="1:2" x14ac:dyDescent="0.3">
      <c r="A5">
        <v>2</v>
      </c>
      <c r="B5" t="s">
        <v>5</v>
      </c>
    </row>
    <row r="6" spans="1:2" x14ac:dyDescent="0.3">
      <c r="B6" t="s">
        <v>11</v>
      </c>
    </row>
    <row r="7" spans="1:2" x14ac:dyDescent="0.3">
      <c r="B7" t="s">
        <v>6</v>
      </c>
    </row>
    <row r="8" spans="1:2" x14ac:dyDescent="0.3">
      <c r="A8">
        <v>3</v>
      </c>
      <c r="B8" t="s">
        <v>9</v>
      </c>
    </row>
    <row r="9" spans="1:2" x14ac:dyDescent="0.3">
      <c r="A9">
        <v>4</v>
      </c>
      <c r="B9" t="s">
        <v>7</v>
      </c>
    </row>
    <row r="10" spans="1:2" x14ac:dyDescent="0.3">
      <c r="A10">
        <v>5</v>
      </c>
      <c r="B10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650895E8B7EB449EFE0136281C6C4B" ma:contentTypeVersion="0" ma:contentTypeDescription="Create a new document." ma:contentTypeScope="" ma:versionID="054e7bc0b2d5914ae7482858aa465ba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6B0F5D-7DD2-46FF-A5F3-4857FAE03A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8BAFFD-B312-4EF8-9C71-E55EE644CA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D13E766-1504-4565-BE43-66946AA223BF}">
  <ds:schemaRefs>
    <ds:schemaRef ds:uri="http://schemas.microsoft.com/office/infopath/2007/PartnerControl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  <Company>The Bank of New York Mellon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Holyhead, Caroline</dc:creator>
  <cp:lastModifiedBy>Iyer, Rahul Gopalkrishnan</cp:lastModifiedBy>
  <dcterms:created xsi:type="dcterms:W3CDTF">2015-07-22T13:20:30Z</dcterms:created>
  <dcterms:modified xsi:type="dcterms:W3CDTF">2018-07-16T21:06:12Z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0x01010070650895E8B7EB449EFE0136281C6C4B</vt:lpwstr>
  </property>
  <property fmtid="{D5CDD505-2E9C-101B-9397-08002B2CF9AE}" pid="3" name="Jive_VersionGuid">
    <vt:lpwstr>dea3d182-ea03-4f38-988f-cdb23e932b3b</vt:lpwstr>
  </property>
  <property fmtid="{D5CDD505-2E9C-101B-9397-08002B2CF9AE}" pid="4" name="Offisync_ProviderInitializationData">
    <vt:lpwstr>https://mysourcesocial.bnymellon.net</vt:lpwstr>
  </property>
  <property fmtid="{D5CDD505-2E9C-101B-9397-08002B2CF9AE}" pid="5" name="Jive_LatestUserAccountName">
    <vt:lpwstr>XBBKC4L</vt:lpwstr>
  </property>
  <property fmtid="{D5CDD505-2E9C-101B-9397-08002B2CF9AE}" pid="6" name="Offisync_ServerID">
    <vt:lpwstr>72491fc9-1c4e-4e67-9d37-28666ba159dc</vt:lpwstr>
  </property>
  <property fmtid="{D5CDD505-2E9C-101B-9397-08002B2CF9AE}" pid="7" name="Offisync_UniqueId">
    <vt:lpwstr>65886</vt:lpwstr>
  </property>
  <property fmtid="{D5CDD505-2E9C-101B-9397-08002B2CF9AE}" pid="8" name="Offisync_UpdateToken">
    <vt:lpwstr>2</vt:lpwstr>
  </property>
</Properties>
</file>